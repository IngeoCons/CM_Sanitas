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gomeza\Documents\Ranorex\Git\IQCM\DataSource\"/>
    </mc:Choice>
  </mc:AlternateContent>
  <xr:revisionPtr revIDLastSave="0" documentId="13_ncr:1_{6B052591-7C44-477A-B9EC-A94D1AD057A7}" xr6:coauthVersionLast="46" xr6:coauthVersionMax="46" xr10:uidLastSave="{00000000-0000-0000-0000-000000000000}"/>
  <bookViews>
    <workbookView xWindow="-120" yWindow="-120" windowWidth="20730" windowHeight="11160" activeTab="1" xr2:uid="{18C2493C-4C45-49E4-9696-C41C7F6F0FA4}"/>
  </bookViews>
  <sheets>
    <sheet name="Hoja1" sheetId="1" r:id="rId1"/>
    <sheet name="Hoja2" sheetId="2" r:id="rId2"/>
    <sheet name="Hoja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" i="1" l="1" a="1"/>
  <c r="L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<sst xmlns="http://schemas.openxmlformats.org/spreadsheetml/2006/main" count="290" uniqueCount="112">
  <si>
    <t>NroIdentificacion</t>
  </si>
  <si>
    <t>FechaInicio</t>
  </si>
  <si>
    <t>FechaFin</t>
  </si>
  <si>
    <t>TipoIdentificacion</t>
  </si>
  <si>
    <t>ValorBruto</t>
  </si>
  <si>
    <t>CC</t>
  </si>
  <si>
    <t>800000</t>
  </si>
  <si>
    <t>CodServicio</t>
  </si>
  <si>
    <t>VlrUnitario</t>
  </si>
  <si>
    <t>MenuItem</t>
  </si>
  <si>
    <t>Subproducto</t>
  </si>
  <si>
    <t>Captura Atenciones y Servicios</t>
  </si>
  <si>
    <t>NroIdentificacionOriginal</t>
  </si>
  <si>
    <t>Cuentas Medicas Recobrables</t>
  </si>
  <si>
    <t>1049626470</t>
  </si>
  <si>
    <t>select convert(nvarchar,FechaIngreso,103) as FechaIngreso,convert(nvarchar,FechaEgreso,103) as FechaEgreso,
NumeroIdentificacion as NumeroIdentificacion, abreviatura TIPO,ValorBruto,ValorNeto,ValorCuota,ValorCopago
from IQCM_DetalleAtencion a inner join IQCM_Basica_TipoIdentificacion i
on(a.TipoDeIdentificacion_id=i.TipodeIdentificacion_Id)
where solicitud_id='2905136b-8efa-4f98-a558-3df31249917b'</t>
  </si>
  <si>
    <t>04242020</t>
  </si>
  <si>
    <t>55590</t>
  </si>
  <si>
    <t>225065-01</t>
  </si>
  <si>
    <t>S22101</t>
  </si>
  <si>
    <t>S20200</t>
  </si>
  <si>
    <t>DescripcionServ</t>
  </si>
  <si>
    <t>SolicitudId</t>
  </si>
  <si>
    <t>Cuentas Medicas</t>
  </si>
  <si>
    <t>TI</t>
  </si>
  <si>
    <t>RC</t>
  </si>
  <si>
    <t>CE0B56E8-EDC7-487D-8E6F-7323E1AA770C</t>
  </si>
  <si>
    <t>1B787779-963A-4F4F-AD91-94152AD956C2</t>
  </si>
  <si>
    <t>B6C5D454-DD9C-4A47-8B18-B30F7EC5A67C</t>
  </si>
  <si>
    <t>964EF25F-6993-4D8A-BE29-3D25CC8E2830</t>
  </si>
  <si>
    <t>3567869E-86CE-4207-9C64-3D52FB408DB7</t>
  </si>
  <si>
    <t>C2D181D2-1A11-4314-98A7-3E4A62008082</t>
  </si>
  <si>
    <t>5D8D2430-B003-40B5-B360-1ED927CC7FEB</t>
  </si>
  <si>
    <t>2BB0C95C-E61C-4B24-A10C-31540682A29C</t>
  </si>
  <si>
    <t>F9D901BA-9251-4301-AA27-9255CDBE2844</t>
  </si>
  <si>
    <t>A2751F97-8CC5-42BA-BF46-4B5F82DCCE2F</t>
  </si>
  <si>
    <t>598D73A8-A0CA-4472-8F12-55B6F2C2A5CA</t>
  </si>
  <si>
    <t>13C54B7E-A32B-40EF-9E72-F483C8ADB486</t>
  </si>
  <si>
    <t>8018CF12-2A78-4B94-AE97-ECACD4F0C9FA</t>
  </si>
  <si>
    <t>5CB79F6E-3A94-4EF3-B7F0-D20A4D1B193A</t>
  </si>
  <si>
    <t>466FA58A-45FE-4A9C-A45D-7E9B9670A6A5</t>
  </si>
  <si>
    <t>F3B3567D-259A-4F3F-A427-3D9F2B2D343B</t>
  </si>
  <si>
    <t>B6437223-8250-4265-BD73-44B4E5471A1A</t>
  </si>
  <si>
    <t>5E727324-04E7-4F1E-AF0B-D409EE4AB170</t>
  </si>
  <si>
    <t>A9BF7B81-4722-4EE1-87F3-DD1D25C36225</t>
  </si>
  <si>
    <t>938843CC-E213-417A-A6C5-E4F20D7A074B</t>
  </si>
  <si>
    <t>7FE208D1-185B-49EE-B1E0-6B0B118EB8A6</t>
  </si>
  <si>
    <t>681DE692-7BA2-4929-AC81-53D97D3D0C12</t>
  </si>
  <si>
    <t>D3AFAE6F-2DFE-4573-BE12-36386BD93116</t>
  </si>
  <si>
    <t>1300598D-58DF-4CD9-AC33-062D8A261DE7</t>
  </si>
  <si>
    <t>4AC631C6-8FF4-463C-8FB8-772BCD717485</t>
  </si>
  <si>
    <t>46B332FD-3F20-43FB-AC91-C9FC793B2ABA</t>
  </si>
  <si>
    <t>41468B1F-497D-4BE9-8AB1-FC09B662690E</t>
  </si>
  <si>
    <t>F7E06379-EEF8-4256-9A7B-97D52317C370</t>
  </si>
  <si>
    <t>02222021</t>
  </si>
  <si>
    <t xml:space="preserve">SELECT valortotal,replace(convert(nvarchar,FechaFactura,101),'/',''),p.nombre,c.* </t>
  </si>
  <si>
    <t>FROM IQ_Doc_Produccion_Job_CapturaAtencionesServicios c inner join Producto p on(c.Producto_Id=p.Producto_Id)</t>
  </si>
  <si>
    <t>inner join Solicitud s on(s.Solicitud_id=c.folder_id)</t>
  </si>
  <si>
    <t xml:space="preserve">WHERE --asignado=500 and usuario is null </t>
  </si>
  <si>
    <t>Folder_Id  in('C2D181D2-1A11-4314-98A7-3E4A62008082')</t>
  </si>
  <si>
    <t>use Prueba_IQCM_Sanitas
SELECT valortotal,replace(convert(nvarchar,FechaFactura,101),'/',''),p.nombre,c.* 
---update IQ_Doc_Produccion_Job_CapturaAtencionesServicios set  asignado=99
FROM IQ_Doc_Produccion_Job_CapturaAtencionesServicios c inner join Producto p on(c.Producto_Id=p.Producto_Id)
inner join Solicitud s on(s.Solicitud_id=c.folder_id)
WHERE --asignado=500 and usuario is null 
Folder_Id  in('C2D181D2-1A11-4314-98A7-3E4A62008082')</t>
  </si>
  <si>
    <t>03012021</t>
  </si>
  <si>
    <t>03062021</t>
  </si>
  <si>
    <t>02242021</t>
  </si>
  <si>
    <t>03032021</t>
  </si>
  <si>
    <t>02102021</t>
  </si>
  <si>
    <t>02232021</t>
  </si>
  <si>
    <t>03122021</t>
  </si>
  <si>
    <t>02182021</t>
  </si>
  <si>
    <t>03022021</t>
  </si>
  <si>
    <t>02192021</t>
  </si>
  <si>
    <t>02092021</t>
  </si>
  <si>
    <t>02082021</t>
  </si>
  <si>
    <t>03042021</t>
  </si>
  <si>
    <t>03052021</t>
  </si>
  <si>
    <t>01222021</t>
  </si>
  <si>
    <t>03112021</t>
  </si>
  <si>
    <t>03042020</t>
  </si>
  <si>
    <t>02252021</t>
  </si>
  <si>
    <t>864204-0</t>
  </si>
  <si>
    <t>DS817204</t>
  </si>
  <si>
    <t>meropenem polvo esteril p/inyeccion 1g</t>
  </si>
  <si>
    <t>alfa fetoprateina ( afp ) serica</t>
  </si>
  <si>
    <t xml:space="preserve">acetaminofen 500mg tableta </t>
  </si>
  <si>
    <t>acetaminofen 500 mg tableta</t>
  </si>
  <si>
    <t xml:space="preserve">hioscina n - butil bromuro 20mg / ml </t>
  </si>
  <si>
    <t>levotiroxina sodica 100mcg</t>
  </si>
  <si>
    <t>transaminasa glutamico oxalacetica o aspartato ami</t>
  </si>
  <si>
    <t>medio de contraste o radiofarm</t>
  </si>
  <si>
    <t xml:space="preserve">sodio cloruro 0..9% x 500ml </t>
  </si>
  <si>
    <t>bilirrubinas total y directa</t>
  </si>
  <si>
    <t xml:space="preserve">terapia ocipacional integral </t>
  </si>
  <si>
    <t>heparina sod sol iny 5000ui/ml vialx5ml</t>
  </si>
  <si>
    <t>fentanyl jeringa 250 mcg</t>
  </si>
  <si>
    <t>jeringa 10ml</t>
  </si>
  <si>
    <t>urocultivo (antiograma mic automatico)</t>
  </si>
  <si>
    <t>equipo cistoirrigador</t>
  </si>
  <si>
    <t>polvo stomahesive 28gm</t>
  </si>
  <si>
    <t>antrostomia maxilar por meato medio via transnasal</t>
  </si>
  <si>
    <t xml:space="preserve">levetiracetam 500mg </t>
  </si>
  <si>
    <t>merocel nasal recto 8 cm</t>
  </si>
  <si>
    <t>tornillo de esponjosa 3.5</t>
  </si>
  <si>
    <t>lactato de ringer bolsa x 500ml</t>
  </si>
  <si>
    <t>potenciales evocados  somatos</t>
  </si>
  <si>
    <t>lactulosa sln oral 66,7g /100ml sobre</t>
  </si>
  <si>
    <t xml:space="preserve">pinza ligasure 31mm </t>
  </si>
  <si>
    <t>venda de algodon laminado 6x5 yds</t>
  </si>
  <si>
    <t>mascara laringea n° 4.0</t>
  </si>
  <si>
    <t>sala de observacion ( urgencias) de complejidad al</t>
  </si>
  <si>
    <t>1300598D-58DF-4CD9-AC33-062D8A261DE8</t>
  </si>
  <si>
    <t>1300598D-58DF-4CD9-AC33-062D8A261DE9</t>
  </si>
  <si>
    <t>1300598D-58DF-4CD9-AC33-062D8A261DE10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</si>
</sst>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quotePrefix="1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14" fontId="0" fillId="0" borderId="0" xfId="0" applyNumberFormat="1"/>
    <xf numFmtId="49" fontId="0" fillId="0" borderId="0" xfId="0" applyNumberFormat="1"/>
    <xf numFmtId="11" fontId="0" fillId="0" borderId="0" xfId="0" applyNumberFormat="1"/>
    <xf numFmtId="49" fontId="0" fillId="0" borderId="0" xfId="0" quotePrefix="1" applyNumberForma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B19C0-2AB4-45B8-BCFB-052D3CC0F6CA}">
  <dimension ref="A1:L9"/>
  <sheetViews>
    <sheetView topLeftCell="A3" workbookViewId="0">
      <selection activeCell="F3" sqref="F3"/>
    </sheetView>
  </sheetViews>
  <sheetFormatPr baseColWidth="10" defaultRowHeight="15" x14ac:dyDescent="0.25"/>
  <cols>
    <col min="1" max="1" width="40.7109375" customWidth="1"/>
    <col min="2" max="2" width="16.5703125" customWidth="1"/>
    <col min="7" max="7" width="15.85546875" bestFit="1" customWidth="1"/>
    <col min="11" max="11" width="16.5703125" bestFit="1" customWidth="1"/>
  </cols>
  <sheetData>
    <row r="1" spans="1:12" x14ac:dyDescent="0.25">
      <c r="A1" t="s">
        <v>0</v>
      </c>
      <c r="B1" t="s">
        <v>3</v>
      </c>
      <c r="C1" t="s">
        <v>1</v>
      </c>
      <c r="D1" t="s">
        <v>2</v>
      </c>
      <c r="E1" t="s">
        <v>4</v>
      </c>
      <c r="F1" t="s">
        <v>9</v>
      </c>
      <c r="G1" t="s">
        <v>10</v>
      </c>
      <c r="H1" t="s">
        <v>7</v>
      </c>
      <c r="I1" t="s">
        <v>8</v>
      </c>
    </row>
    <row r="2" spans="1:12" x14ac:dyDescent="0.25">
      <c r="A2" s="1" t="s">
        <v>14</v>
      </c>
      <c r="B2" t="s">
        <v>5</v>
      </c>
      <c r="C2" s="1" t="s">
        <v>16</v>
      </c>
      <c r="D2" s="1" t="s">
        <v>16</v>
      </c>
      <c r="E2" s="1" t="s">
        <v>17</v>
      </c>
      <c r="F2" t="s">
        <v>11</v>
      </c>
      <c r="G2" t="s">
        <v>13</v>
      </c>
      <c r="H2">
        <v>890701</v>
      </c>
      <c r="I2" s="1" t="s">
        <v>6</v>
      </c>
      <c r="K2" s="1"/>
    </row>
    <row r="3" spans="1:12" ht="409.5" x14ac:dyDescent="0.25">
      <c r="I3" s="1"/>
      <c r="K3" s="3" t="s">
        <v>15</v>
      </c>
      <c r="L3" s="2" t="s">
        <v>60</v>
      </c>
    </row>
    <row r="4" spans="1:12" x14ac:dyDescent="0.25">
      <c r="L4" t="s">
        <v>55</v>
      </c>
    </row>
    <row r="5" spans="1:12" x14ac:dyDescent="0.25">
      <c r="L5" t="e" cm="1">
        <f t="array" ref="L5">---update IQ_Doc_Produccion_Job_CapturaAtencionesServicios set  asignado=99</f>
        <v>#NAME?</v>
      </c>
    </row>
    <row r="6" spans="1:12" x14ac:dyDescent="0.25">
      <c r="A6" s="2"/>
      <c r="L6" t="s">
        <v>56</v>
      </c>
    </row>
    <row r="7" spans="1:12" x14ac:dyDescent="0.25">
      <c r="L7" t="s">
        <v>57</v>
      </c>
    </row>
    <row r="8" spans="1:12" x14ac:dyDescent="0.25">
      <c r="L8" t="s">
        <v>58</v>
      </c>
    </row>
    <row r="9" spans="1:12" x14ac:dyDescent="0.25">
      <c r="L9" t="s">
        <v>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217C-980D-4FFE-AEFF-447CDE9F4121}">
  <dimension ref="A1:H69"/>
  <sheetViews>
    <sheetView tabSelected="1" zoomScale="98" zoomScaleNormal="98" workbookViewId="0">
      <selection activeCell="C15" sqref="C15"/>
    </sheetView>
  </sheetViews>
  <sheetFormatPr baseColWidth="10" defaultRowHeight="15" x14ac:dyDescent="0.25"/>
  <cols>
    <col min="3" max="3" width="11.42578125" style="5"/>
    <col min="6" max="6" width="15.85546875" bestFit="1" customWidth="1"/>
    <col min="7" max="7" width="28.42578125" bestFit="1" customWidth="1"/>
    <col min="8" max="8" width="39.28515625" bestFit="1" customWidth="1"/>
  </cols>
  <sheetData>
    <row r="1" spans="1:8" x14ac:dyDescent="0.25">
      <c r="A1" t="s">
        <v>0</v>
      </c>
      <c r="B1" t="s">
        <v>3</v>
      </c>
      <c r="C1" s="5" t="s">
        <v>1</v>
      </c>
      <c r="D1" t="s">
        <v>2</v>
      </c>
      <c r="E1" t="s">
        <v>4</v>
      </c>
      <c r="F1" t="s">
        <v>10</v>
      </c>
      <c r="G1" t="s">
        <v>9</v>
      </c>
      <c r="H1" t="s">
        <v>22</v>
      </c>
    </row>
    <row r="2" spans="1:8" x14ac:dyDescent="0.25">
      <c r="A2">
        <v>1120367774</v>
      </c>
      <c r="B2" t="s">
        <v>5</v>
      </c>
      <c r="C2" s="7" t="s">
        <v>61</v>
      </c>
      <c r="D2" s="7" t="s">
        <v>61</v>
      </c>
      <c r="E2">
        <v>216990</v>
      </c>
      <c r="F2" t="s">
        <v>23</v>
      </c>
      <c r="G2" t="s">
        <v>11</v>
      </c>
      <c r="H2" t="s">
        <v>46</v>
      </c>
    </row>
    <row r="3" spans="1:8" x14ac:dyDescent="0.25">
      <c r="A3">
        <v>17179633</v>
      </c>
      <c r="B3" t="s">
        <v>5</v>
      </c>
      <c r="C3" s="7" t="s">
        <v>67</v>
      </c>
      <c r="D3" s="7" t="s">
        <v>67</v>
      </c>
      <c r="E3">
        <v>35000</v>
      </c>
      <c r="F3" t="s">
        <v>23</v>
      </c>
      <c r="G3" t="s">
        <v>11</v>
      </c>
      <c r="H3" t="s">
        <v>49</v>
      </c>
    </row>
    <row r="4" spans="1:8" x14ac:dyDescent="0.25">
      <c r="A4">
        <v>1098817112</v>
      </c>
      <c r="B4" t="s">
        <v>5</v>
      </c>
      <c r="C4" s="7" t="s">
        <v>68</v>
      </c>
      <c r="D4" s="7" t="s">
        <v>68</v>
      </c>
      <c r="E4">
        <v>302000</v>
      </c>
      <c r="F4" t="s">
        <v>23</v>
      </c>
      <c r="G4" t="s">
        <v>11</v>
      </c>
      <c r="H4" t="s">
        <v>32</v>
      </c>
    </row>
    <row r="5" spans="1:8" x14ac:dyDescent="0.25">
      <c r="A5">
        <v>1025543536</v>
      </c>
      <c r="B5" t="s">
        <v>5</v>
      </c>
      <c r="C5" s="7" t="s">
        <v>69</v>
      </c>
      <c r="D5" s="7" t="s">
        <v>69</v>
      </c>
      <c r="E5">
        <v>314130</v>
      </c>
      <c r="F5" t="s">
        <v>23</v>
      </c>
      <c r="G5" t="s">
        <v>11</v>
      </c>
      <c r="H5" t="s">
        <v>33</v>
      </c>
    </row>
    <row r="6" spans="1:8" x14ac:dyDescent="0.25">
      <c r="A6">
        <v>1022995494</v>
      </c>
      <c r="B6" t="s">
        <v>24</v>
      </c>
      <c r="C6" s="7" t="s">
        <v>66</v>
      </c>
      <c r="D6" s="7" t="s">
        <v>66</v>
      </c>
      <c r="E6">
        <v>40000</v>
      </c>
      <c r="F6" t="s">
        <v>23</v>
      </c>
      <c r="G6" t="s">
        <v>11</v>
      </c>
      <c r="H6" t="s">
        <v>48</v>
      </c>
    </row>
    <row r="7" spans="1:8" x14ac:dyDescent="0.25">
      <c r="A7">
        <v>1000034632</v>
      </c>
      <c r="B7" t="s">
        <v>5</v>
      </c>
      <c r="C7" s="7" t="s">
        <v>68</v>
      </c>
      <c r="D7" s="7" t="s">
        <v>68</v>
      </c>
      <c r="E7">
        <v>316725</v>
      </c>
      <c r="F7" t="s">
        <v>23</v>
      </c>
      <c r="G7" t="s">
        <v>11</v>
      </c>
      <c r="H7" t="s">
        <v>29</v>
      </c>
    </row>
    <row r="8" spans="1:8" x14ac:dyDescent="0.25">
      <c r="A8">
        <v>1000809475</v>
      </c>
      <c r="B8" t="s">
        <v>5</v>
      </c>
      <c r="C8" s="7" t="s">
        <v>70</v>
      </c>
      <c r="D8" s="7" t="s">
        <v>70</v>
      </c>
      <c r="E8">
        <v>236800</v>
      </c>
      <c r="F8" t="s">
        <v>23</v>
      </c>
      <c r="G8" t="s">
        <v>11</v>
      </c>
      <c r="H8" t="s">
        <v>30</v>
      </c>
    </row>
    <row r="9" spans="1:8" x14ac:dyDescent="0.25">
      <c r="A9">
        <v>1001219464</v>
      </c>
      <c r="B9" t="s">
        <v>5</v>
      </c>
      <c r="C9" s="7" t="s">
        <v>62</v>
      </c>
      <c r="D9" s="7" t="s">
        <v>62</v>
      </c>
      <c r="E9">
        <v>272916</v>
      </c>
      <c r="F9" t="s">
        <v>23</v>
      </c>
      <c r="G9" t="s">
        <v>11</v>
      </c>
      <c r="H9" t="s">
        <v>41</v>
      </c>
    </row>
    <row r="10" spans="1:8" x14ac:dyDescent="0.25">
      <c r="A10">
        <v>1005297220</v>
      </c>
      <c r="B10" t="s">
        <v>5</v>
      </c>
      <c r="C10" s="7" t="s">
        <v>54</v>
      </c>
      <c r="D10" s="7" t="s">
        <v>54</v>
      </c>
      <c r="E10">
        <v>236800</v>
      </c>
      <c r="F10" t="s">
        <v>23</v>
      </c>
      <c r="G10" t="s">
        <v>11</v>
      </c>
      <c r="H10" t="s">
        <v>31</v>
      </c>
    </row>
    <row r="11" spans="1:8" x14ac:dyDescent="0.25">
      <c r="A11">
        <v>1010009935</v>
      </c>
      <c r="B11" t="s">
        <v>5</v>
      </c>
      <c r="C11" s="7" t="s">
        <v>63</v>
      </c>
      <c r="D11" s="7" t="s">
        <v>63</v>
      </c>
      <c r="E11">
        <v>236469</v>
      </c>
      <c r="F11" t="s">
        <v>23</v>
      </c>
      <c r="G11" t="s">
        <v>11</v>
      </c>
      <c r="H11" t="s">
        <v>42</v>
      </c>
    </row>
    <row r="12" spans="1:8" x14ac:dyDescent="0.25">
      <c r="A12">
        <v>1010212546</v>
      </c>
      <c r="B12" t="s">
        <v>5</v>
      </c>
      <c r="C12" s="7" t="s">
        <v>71</v>
      </c>
      <c r="D12" s="7" t="s">
        <v>71</v>
      </c>
      <c r="E12">
        <v>384000</v>
      </c>
      <c r="F12" t="s">
        <v>23</v>
      </c>
      <c r="G12" t="s">
        <v>11</v>
      </c>
      <c r="H12" t="s">
        <v>35</v>
      </c>
    </row>
    <row r="13" spans="1:8" x14ac:dyDescent="0.25">
      <c r="A13">
        <v>1010236143</v>
      </c>
      <c r="B13" t="s">
        <v>25</v>
      </c>
      <c r="C13" s="7" t="s">
        <v>65</v>
      </c>
      <c r="D13" s="7" t="s">
        <v>65</v>
      </c>
      <c r="E13">
        <v>217690</v>
      </c>
      <c r="F13" t="s">
        <v>23</v>
      </c>
      <c r="G13" t="s">
        <v>11</v>
      </c>
      <c r="H13" t="s">
        <v>47</v>
      </c>
    </row>
    <row r="14" spans="1:8" x14ac:dyDescent="0.25">
      <c r="A14">
        <v>1010242403</v>
      </c>
      <c r="B14" t="s">
        <v>24</v>
      </c>
      <c r="C14" s="7" t="s">
        <v>63</v>
      </c>
      <c r="D14" s="7" t="s">
        <v>63</v>
      </c>
      <c r="E14">
        <v>380300</v>
      </c>
      <c r="F14" t="s">
        <v>23</v>
      </c>
      <c r="G14" t="s">
        <v>11</v>
      </c>
      <c r="H14" t="s">
        <v>36</v>
      </c>
    </row>
    <row r="15" spans="1:8" x14ac:dyDescent="0.25">
      <c r="A15">
        <v>1011096586</v>
      </c>
      <c r="B15" t="s">
        <v>5</v>
      </c>
      <c r="C15" s="7" t="s">
        <v>61</v>
      </c>
      <c r="D15" s="7" t="s">
        <v>61</v>
      </c>
      <c r="E15">
        <v>216990</v>
      </c>
      <c r="F15" t="s">
        <v>23</v>
      </c>
      <c r="G15" t="s">
        <v>11</v>
      </c>
      <c r="H15" t="s">
        <v>46</v>
      </c>
    </row>
    <row r="16" spans="1:8" x14ac:dyDescent="0.25">
      <c r="A16">
        <v>1011205419</v>
      </c>
      <c r="B16" t="s">
        <v>5</v>
      </c>
      <c r="C16" s="7" t="s">
        <v>72</v>
      </c>
      <c r="D16" s="7" t="s">
        <v>72</v>
      </c>
      <c r="E16">
        <v>384720</v>
      </c>
      <c r="F16" t="s">
        <v>23</v>
      </c>
      <c r="G16" t="s">
        <v>11</v>
      </c>
      <c r="H16" t="s">
        <v>26</v>
      </c>
    </row>
    <row r="17" spans="1:8" x14ac:dyDescent="0.25">
      <c r="A17">
        <v>1011256415</v>
      </c>
      <c r="B17" t="s">
        <v>5</v>
      </c>
      <c r="C17" s="7" t="s">
        <v>73</v>
      </c>
      <c r="D17" s="7" t="s">
        <v>73</v>
      </c>
      <c r="E17">
        <v>167166</v>
      </c>
      <c r="F17" t="s">
        <v>23</v>
      </c>
      <c r="G17" t="s">
        <v>11</v>
      </c>
      <c r="H17" t="s">
        <v>50</v>
      </c>
    </row>
    <row r="18" spans="1:8" x14ac:dyDescent="0.25">
      <c r="A18">
        <v>1012386884</v>
      </c>
      <c r="B18" t="s">
        <v>5</v>
      </c>
      <c r="C18" s="7" t="s">
        <v>65</v>
      </c>
      <c r="D18" s="7" t="s">
        <v>65</v>
      </c>
      <c r="E18">
        <v>301704</v>
      </c>
      <c r="F18" t="s">
        <v>23</v>
      </c>
      <c r="G18" t="s">
        <v>11</v>
      </c>
      <c r="H18" t="s">
        <v>40</v>
      </c>
    </row>
    <row r="19" spans="1:8" x14ac:dyDescent="0.25">
      <c r="A19">
        <v>1013154818</v>
      </c>
      <c r="B19" t="s">
        <v>5</v>
      </c>
      <c r="C19" s="7" t="s">
        <v>68</v>
      </c>
      <c r="D19" s="7" t="s">
        <v>68</v>
      </c>
      <c r="E19">
        <v>302000</v>
      </c>
      <c r="F19" t="s">
        <v>23</v>
      </c>
      <c r="G19" t="s">
        <v>11</v>
      </c>
      <c r="H19" t="s">
        <v>34</v>
      </c>
    </row>
    <row r="20" spans="1:8" x14ac:dyDescent="0.25">
      <c r="A20">
        <v>1013606886</v>
      </c>
      <c r="B20" t="s">
        <v>5</v>
      </c>
      <c r="C20" s="7" t="s">
        <v>71</v>
      </c>
      <c r="D20" s="7" t="s">
        <v>71</v>
      </c>
      <c r="E20">
        <v>326030</v>
      </c>
      <c r="F20" t="s">
        <v>23</v>
      </c>
      <c r="G20" t="s">
        <v>11</v>
      </c>
      <c r="H20" s="6" t="s">
        <v>27</v>
      </c>
    </row>
    <row r="21" spans="1:8" x14ac:dyDescent="0.25">
      <c r="A21">
        <v>1014257709</v>
      </c>
      <c r="B21" t="s">
        <v>5</v>
      </c>
      <c r="C21" s="7" t="s">
        <v>74</v>
      </c>
      <c r="D21" s="7" t="s">
        <v>74</v>
      </c>
      <c r="E21">
        <v>341550</v>
      </c>
      <c r="F21" t="s">
        <v>23</v>
      </c>
      <c r="G21" t="s">
        <v>11</v>
      </c>
      <c r="H21" t="s">
        <v>53</v>
      </c>
    </row>
    <row r="22" spans="1:8" x14ac:dyDescent="0.25">
      <c r="A22">
        <v>1014743138</v>
      </c>
      <c r="B22" t="s">
        <v>5</v>
      </c>
      <c r="C22" s="7" t="s">
        <v>75</v>
      </c>
      <c r="D22" s="7" t="s">
        <v>75</v>
      </c>
      <c r="E22">
        <v>316725</v>
      </c>
      <c r="F22" t="s">
        <v>23</v>
      </c>
      <c r="G22" t="s">
        <v>11</v>
      </c>
      <c r="H22" t="s">
        <v>28</v>
      </c>
    </row>
    <row r="23" spans="1:8" x14ac:dyDescent="0.25">
      <c r="A23">
        <v>1014744841</v>
      </c>
      <c r="B23" t="s">
        <v>5</v>
      </c>
      <c r="C23" s="7" t="s">
        <v>76</v>
      </c>
      <c r="D23" s="7" t="s">
        <v>76</v>
      </c>
      <c r="E23">
        <v>114800</v>
      </c>
      <c r="F23" t="s">
        <v>23</v>
      </c>
      <c r="G23" t="s">
        <v>11</v>
      </c>
      <c r="H23" t="s">
        <v>51</v>
      </c>
    </row>
    <row r="24" spans="1:8" x14ac:dyDescent="0.25">
      <c r="A24">
        <v>1014866879</v>
      </c>
      <c r="B24" t="s">
        <v>5</v>
      </c>
      <c r="C24" s="7" t="s">
        <v>61</v>
      </c>
      <c r="D24" s="7" t="s">
        <v>61</v>
      </c>
      <c r="E24">
        <v>285574</v>
      </c>
      <c r="F24" t="s">
        <v>23</v>
      </c>
      <c r="G24" t="s">
        <v>11</v>
      </c>
      <c r="H24" t="s">
        <v>39</v>
      </c>
    </row>
    <row r="25" spans="1:8" x14ac:dyDescent="0.25">
      <c r="A25">
        <v>1014880552</v>
      </c>
      <c r="B25" t="s">
        <v>5</v>
      </c>
      <c r="C25" s="7" t="s">
        <v>64</v>
      </c>
      <c r="D25" s="7" t="s">
        <v>64</v>
      </c>
      <c r="E25">
        <v>201221</v>
      </c>
      <c r="F25" t="s">
        <v>13</v>
      </c>
      <c r="G25" t="s">
        <v>11</v>
      </c>
      <c r="H25" s="6" t="s">
        <v>43</v>
      </c>
    </row>
    <row r="26" spans="1:8" x14ac:dyDescent="0.25">
      <c r="A26">
        <v>1014899872</v>
      </c>
      <c r="B26" t="s">
        <v>5</v>
      </c>
      <c r="C26" s="7" t="s">
        <v>77</v>
      </c>
      <c r="D26" s="7" t="s">
        <v>77</v>
      </c>
      <c r="E26">
        <v>344915</v>
      </c>
      <c r="F26" t="s">
        <v>13</v>
      </c>
      <c r="G26" t="s">
        <v>11</v>
      </c>
      <c r="H26" t="s">
        <v>44</v>
      </c>
    </row>
    <row r="27" spans="1:8" x14ac:dyDescent="0.25">
      <c r="A27">
        <v>1014999432</v>
      </c>
      <c r="B27" t="s">
        <v>5</v>
      </c>
      <c r="C27" s="7" t="s">
        <v>63</v>
      </c>
      <c r="D27" s="7" t="s">
        <v>63</v>
      </c>
      <c r="E27">
        <v>303786</v>
      </c>
      <c r="F27" t="s">
        <v>23</v>
      </c>
      <c r="G27" t="s">
        <v>11</v>
      </c>
      <c r="H27" t="s">
        <v>45</v>
      </c>
    </row>
    <row r="28" spans="1:8" x14ac:dyDescent="0.25">
      <c r="A28">
        <v>1015392369</v>
      </c>
      <c r="B28" t="s">
        <v>5</v>
      </c>
      <c r="C28" s="7" t="s">
        <v>63</v>
      </c>
      <c r="D28" s="7" t="s">
        <v>63</v>
      </c>
      <c r="E28">
        <v>455704</v>
      </c>
      <c r="F28" t="s">
        <v>23</v>
      </c>
      <c r="G28" t="s">
        <v>11</v>
      </c>
      <c r="H28" t="s">
        <v>38</v>
      </c>
    </row>
    <row r="29" spans="1:8" x14ac:dyDescent="0.25">
      <c r="A29">
        <v>1015473599</v>
      </c>
      <c r="B29" t="s">
        <v>5</v>
      </c>
      <c r="C29" s="7" t="s">
        <v>78</v>
      </c>
      <c r="D29" s="7" t="s">
        <v>78</v>
      </c>
      <c r="E29">
        <v>390200</v>
      </c>
      <c r="F29" t="s">
        <v>23</v>
      </c>
      <c r="G29" t="s">
        <v>11</v>
      </c>
      <c r="H29" t="s">
        <v>37</v>
      </c>
    </row>
    <row r="30" spans="1:8" x14ac:dyDescent="0.25">
      <c r="A30">
        <v>1016020580</v>
      </c>
      <c r="B30" t="s">
        <v>5</v>
      </c>
      <c r="C30" s="7" t="s">
        <v>76</v>
      </c>
      <c r="D30" s="7" t="s">
        <v>76</v>
      </c>
      <c r="E30">
        <v>347200</v>
      </c>
      <c r="F30" t="s">
        <v>23</v>
      </c>
      <c r="G30" t="s">
        <v>11</v>
      </c>
      <c r="H30" t="s">
        <v>52</v>
      </c>
    </row>
    <row r="31" spans="1:8" x14ac:dyDescent="0.25">
      <c r="C31" s="7"/>
      <c r="D31" s="7"/>
    </row>
    <row r="35" spans="4:4" x14ac:dyDescent="0.25">
      <c r="D35" s="4"/>
    </row>
    <row r="36" spans="4:4" x14ac:dyDescent="0.25">
      <c r="D36" s="4"/>
    </row>
    <row r="37" spans="4:4" x14ac:dyDescent="0.25">
      <c r="D37" s="4"/>
    </row>
    <row r="38" spans="4:4" x14ac:dyDescent="0.25">
      <c r="D38" s="4"/>
    </row>
    <row r="39" spans="4:4" x14ac:dyDescent="0.25">
      <c r="D39" s="4"/>
    </row>
    <row r="40" spans="4:4" x14ac:dyDescent="0.25">
      <c r="D40" s="4"/>
    </row>
    <row r="42" spans="4:4" x14ac:dyDescent="0.25">
      <c r="D42" s="4"/>
    </row>
    <row r="43" spans="4:4" x14ac:dyDescent="0.25">
      <c r="D43" s="4"/>
    </row>
    <row r="44" spans="4:4" x14ac:dyDescent="0.25">
      <c r="D44" s="4"/>
    </row>
    <row r="45" spans="4:4" x14ac:dyDescent="0.25">
      <c r="D45" s="4"/>
    </row>
    <row r="46" spans="4:4" x14ac:dyDescent="0.25">
      <c r="D46" s="4"/>
    </row>
    <row r="48" spans="4:4" x14ac:dyDescent="0.25">
      <c r="D48" s="4"/>
    </row>
    <row r="49" spans="4:4" x14ac:dyDescent="0.25">
      <c r="D49" s="4"/>
    </row>
    <row r="50" spans="4:4" x14ac:dyDescent="0.25">
      <c r="D50" s="4"/>
    </row>
    <row r="52" spans="4:4" x14ac:dyDescent="0.25">
      <c r="D52" s="4"/>
    </row>
    <row r="53" spans="4:4" x14ac:dyDescent="0.25">
      <c r="D53" s="4"/>
    </row>
    <row r="54" spans="4:4" x14ac:dyDescent="0.25">
      <c r="D54" s="4"/>
    </row>
    <row r="57" spans="4:4" x14ac:dyDescent="0.25">
      <c r="D57" s="4"/>
    </row>
    <row r="59" spans="4:4" x14ac:dyDescent="0.25">
      <c r="D59" s="4"/>
    </row>
    <row r="61" spans="4:4" x14ac:dyDescent="0.25">
      <c r="D61" s="4"/>
    </row>
    <row r="62" spans="4:4" x14ac:dyDescent="0.25">
      <c r="D62" s="4"/>
    </row>
    <row r="63" spans="4:4" x14ac:dyDescent="0.25">
      <c r="D63" s="4"/>
    </row>
    <row r="64" spans="4:4" x14ac:dyDescent="0.25">
      <c r="D64" s="4"/>
    </row>
    <row r="66" spans="4:4" x14ac:dyDescent="0.25">
      <c r="D66" s="4"/>
    </row>
    <row r="68" spans="4:4" x14ac:dyDescent="0.25">
      <c r="D68" s="4"/>
    </row>
    <row r="69" spans="4:4" x14ac:dyDescent="0.25">
      <c r="D69" s="4"/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45E57-09B7-43F9-B279-A7000EB425AA}">
  <dimension ref="A1:E35"/>
  <sheetViews>
    <sheetView workbookViewId="0">
      <selection activeCell="B8" sqref="B8"/>
    </sheetView>
  </sheetViews>
  <sheetFormatPr baseColWidth="10" defaultRowHeight="15" x14ac:dyDescent="0.25"/>
  <cols>
    <col min="3" max="3" width="23.7109375" bestFit="1" customWidth="1"/>
    <col min="4" max="4" width="54.85546875" bestFit="1" customWidth="1"/>
    <col min="5" max="5" width="39" bestFit="1" customWidth="1"/>
  </cols>
  <sheetData>
    <row r="1" spans="1:5" x14ac:dyDescent="0.25">
      <c r="A1" t="s">
        <v>7</v>
      </c>
      <c r="B1" t="s">
        <v>8</v>
      </c>
      <c r="C1" t="s">
        <v>12</v>
      </c>
      <c r="D1" t="s">
        <v>21</v>
      </c>
      <c r="E1" t="s">
        <v>22</v>
      </c>
    </row>
    <row r="2" spans="1:5" x14ac:dyDescent="0.25">
      <c r="A2" s="8" t="s">
        <v>20</v>
      </c>
      <c r="B2">
        <v>72330</v>
      </c>
      <c r="C2">
        <v>1120367774</v>
      </c>
      <c r="D2" t="s">
        <v>108</v>
      </c>
      <c r="E2" t="s">
        <v>46</v>
      </c>
    </row>
    <row r="3" spans="1:5" x14ac:dyDescent="0.25">
      <c r="A3" s="8" t="s">
        <v>79</v>
      </c>
      <c r="B3">
        <v>72330</v>
      </c>
      <c r="C3">
        <v>1120367774</v>
      </c>
      <c r="D3" t="s">
        <v>81</v>
      </c>
      <c r="E3" t="s">
        <v>46</v>
      </c>
    </row>
    <row r="4" spans="1:5" x14ac:dyDescent="0.25">
      <c r="A4" s="8" t="s">
        <v>80</v>
      </c>
      <c r="B4">
        <v>72330</v>
      </c>
      <c r="C4">
        <v>1120367774</v>
      </c>
      <c r="D4" t="s">
        <v>82</v>
      </c>
      <c r="E4" t="s">
        <v>46</v>
      </c>
    </row>
    <row r="5" spans="1:5" x14ac:dyDescent="0.25">
      <c r="A5" s="8">
        <v>20108009</v>
      </c>
      <c r="B5">
        <v>8750</v>
      </c>
      <c r="C5">
        <v>17179633</v>
      </c>
      <c r="D5" t="s">
        <v>83</v>
      </c>
      <c r="E5" t="s">
        <v>49</v>
      </c>
    </row>
    <row r="6" spans="1:5" x14ac:dyDescent="0.25">
      <c r="A6" s="8">
        <v>20108009</v>
      </c>
      <c r="B6">
        <v>8750</v>
      </c>
      <c r="C6">
        <v>17179633</v>
      </c>
      <c r="D6" t="s">
        <v>84</v>
      </c>
      <c r="E6" t="s">
        <v>109</v>
      </c>
    </row>
    <row r="7" spans="1:5" x14ac:dyDescent="0.25">
      <c r="A7" s="8" t="s">
        <v>19</v>
      </c>
      <c r="B7">
        <v>8750</v>
      </c>
      <c r="C7">
        <v>17179633</v>
      </c>
      <c r="D7" t="s">
        <v>85</v>
      </c>
      <c r="E7" t="s">
        <v>110</v>
      </c>
    </row>
    <row r="8" spans="1:5" x14ac:dyDescent="0.25">
      <c r="A8" s="8">
        <v>890701</v>
      </c>
      <c r="B8">
        <v>8750</v>
      </c>
      <c r="C8">
        <v>17179633</v>
      </c>
      <c r="D8" t="s">
        <v>86</v>
      </c>
      <c r="E8" t="s">
        <v>111</v>
      </c>
    </row>
    <row r="9" spans="1:5" x14ac:dyDescent="0.25">
      <c r="A9" s="8">
        <v>1017</v>
      </c>
      <c r="B9">
        <v>302000</v>
      </c>
      <c r="C9">
        <v>1098817112</v>
      </c>
      <c r="D9" t="s">
        <v>87</v>
      </c>
      <c r="E9" t="s">
        <v>32</v>
      </c>
    </row>
    <row r="10" spans="1:5" x14ac:dyDescent="0.25">
      <c r="A10" s="8">
        <v>200436442</v>
      </c>
      <c r="B10">
        <v>314130</v>
      </c>
      <c r="C10">
        <v>1025543536</v>
      </c>
      <c r="D10" t="s">
        <v>88</v>
      </c>
      <c r="E10" t="s">
        <v>33</v>
      </c>
    </row>
    <row r="11" spans="1:5" x14ac:dyDescent="0.25">
      <c r="A11" s="8" t="s">
        <v>20</v>
      </c>
      <c r="B11">
        <v>40000</v>
      </c>
      <c r="C11">
        <v>1022995494</v>
      </c>
      <c r="D11" t="s">
        <v>89</v>
      </c>
      <c r="E11" t="s">
        <v>48</v>
      </c>
    </row>
    <row r="12" spans="1:5" x14ac:dyDescent="0.25">
      <c r="A12" s="8">
        <v>20108009</v>
      </c>
      <c r="B12">
        <v>316725</v>
      </c>
      <c r="C12">
        <v>1000034632</v>
      </c>
      <c r="D12" t="s">
        <v>90</v>
      </c>
      <c r="E12" t="s">
        <v>29</v>
      </c>
    </row>
    <row r="13" spans="1:5" x14ac:dyDescent="0.25">
      <c r="A13" s="8">
        <v>424</v>
      </c>
      <c r="B13">
        <v>236800</v>
      </c>
      <c r="C13">
        <v>1000809475</v>
      </c>
      <c r="D13" t="s">
        <v>91</v>
      </c>
      <c r="E13" t="s">
        <v>30</v>
      </c>
    </row>
    <row r="14" spans="1:5" x14ac:dyDescent="0.25">
      <c r="A14" s="8">
        <v>199482801</v>
      </c>
      <c r="B14">
        <v>272916</v>
      </c>
      <c r="C14">
        <v>1001219464</v>
      </c>
      <c r="D14" t="s">
        <v>92</v>
      </c>
      <c r="E14" t="s">
        <v>41</v>
      </c>
    </row>
    <row r="15" spans="1:5" x14ac:dyDescent="0.25">
      <c r="A15" s="8" t="s">
        <v>20</v>
      </c>
      <c r="B15">
        <v>236800</v>
      </c>
      <c r="C15">
        <v>1005297220</v>
      </c>
      <c r="D15" t="s">
        <v>93</v>
      </c>
      <c r="E15" t="s">
        <v>31</v>
      </c>
    </row>
    <row r="16" spans="1:5" x14ac:dyDescent="0.25">
      <c r="A16" s="8">
        <v>20108009</v>
      </c>
      <c r="B16">
        <v>236469</v>
      </c>
      <c r="C16">
        <v>1010009935</v>
      </c>
      <c r="D16" t="s">
        <v>94</v>
      </c>
      <c r="E16" t="s">
        <v>42</v>
      </c>
    </row>
    <row r="17" spans="1:5" x14ac:dyDescent="0.25">
      <c r="A17" s="8">
        <v>20108009</v>
      </c>
      <c r="B17">
        <v>384000</v>
      </c>
      <c r="C17">
        <v>1010212546</v>
      </c>
      <c r="D17" t="s">
        <v>95</v>
      </c>
      <c r="E17" t="s">
        <v>35</v>
      </c>
    </row>
    <row r="18" spans="1:5" x14ac:dyDescent="0.25">
      <c r="A18" s="8" t="s">
        <v>18</v>
      </c>
      <c r="B18">
        <v>217690</v>
      </c>
      <c r="C18">
        <v>1010236143</v>
      </c>
      <c r="D18" t="s">
        <v>96</v>
      </c>
      <c r="E18" t="s">
        <v>47</v>
      </c>
    </row>
    <row r="19" spans="1:5" x14ac:dyDescent="0.25">
      <c r="A19" s="8" t="s">
        <v>19</v>
      </c>
      <c r="B19">
        <v>380300</v>
      </c>
      <c r="C19">
        <v>1010242403</v>
      </c>
      <c r="D19" t="s">
        <v>97</v>
      </c>
      <c r="E19" t="s">
        <v>36</v>
      </c>
    </row>
    <row r="20" spans="1:5" x14ac:dyDescent="0.25">
      <c r="A20" s="8">
        <v>890701</v>
      </c>
      <c r="B20">
        <v>216990</v>
      </c>
      <c r="C20">
        <v>1011096586</v>
      </c>
      <c r="D20" t="s">
        <v>98</v>
      </c>
      <c r="E20" t="s">
        <v>46</v>
      </c>
    </row>
    <row r="21" spans="1:5" x14ac:dyDescent="0.25">
      <c r="A21" s="8">
        <v>1017</v>
      </c>
      <c r="B21">
        <v>384720</v>
      </c>
      <c r="C21">
        <v>1011205419</v>
      </c>
      <c r="D21" t="s">
        <v>99</v>
      </c>
      <c r="E21" t="s">
        <v>26</v>
      </c>
    </row>
    <row r="22" spans="1:5" x14ac:dyDescent="0.25">
      <c r="A22" s="8">
        <v>200436442</v>
      </c>
      <c r="B22">
        <v>167166</v>
      </c>
      <c r="C22">
        <v>1011256415</v>
      </c>
      <c r="D22" t="s">
        <v>100</v>
      </c>
      <c r="E22" t="s">
        <v>50</v>
      </c>
    </row>
    <row r="23" spans="1:5" x14ac:dyDescent="0.25">
      <c r="A23" s="8" t="s">
        <v>20</v>
      </c>
      <c r="B23">
        <v>301704</v>
      </c>
      <c r="C23">
        <v>1012386884</v>
      </c>
      <c r="D23" t="s">
        <v>101</v>
      </c>
      <c r="E23" t="s">
        <v>40</v>
      </c>
    </row>
    <row r="24" spans="1:5" x14ac:dyDescent="0.25">
      <c r="A24" s="8">
        <v>1992428549</v>
      </c>
      <c r="B24">
        <v>302000</v>
      </c>
      <c r="C24">
        <v>1013154818</v>
      </c>
      <c r="D24" t="s">
        <v>102</v>
      </c>
      <c r="E24" t="s">
        <v>34</v>
      </c>
    </row>
    <row r="25" spans="1:5" x14ac:dyDescent="0.25">
      <c r="A25" s="8">
        <v>199427775</v>
      </c>
      <c r="B25">
        <v>326030</v>
      </c>
      <c r="C25">
        <v>1013606886</v>
      </c>
      <c r="D25" t="s">
        <v>103</v>
      </c>
      <c r="E25" s="6" t="s">
        <v>27</v>
      </c>
    </row>
    <row r="26" spans="1:5" x14ac:dyDescent="0.25">
      <c r="A26" s="8">
        <v>20108009</v>
      </c>
      <c r="B26">
        <v>341550</v>
      </c>
      <c r="C26">
        <v>1014257709</v>
      </c>
      <c r="D26" t="s">
        <v>104</v>
      </c>
      <c r="E26" t="s">
        <v>53</v>
      </c>
    </row>
    <row r="27" spans="1:5" x14ac:dyDescent="0.25">
      <c r="A27" s="8">
        <v>424</v>
      </c>
      <c r="B27">
        <v>316725</v>
      </c>
      <c r="C27">
        <v>1014743138</v>
      </c>
      <c r="D27" t="s">
        <v>105</v>
      </c>
      <c r="E27" t="s">
        <v>28</v>
      </c>
    </row>
    <row r="28" spans="1:5" x14ac:dyDescent="0.25">
      <c r="A28" s="8">
        <v>890701</v>
      </c>
      <c r="B28">
        <v>114800</v>
      </c>
      <c r="C28">
        <v>1014744841</v>
      </c>
      <c r="D28" t="s">
        <v>106</v>
      </c>
      <c r="E28" t="s">
        <v>51</v>
      </c>
    </row>
    <row r="29" spans="1:5" x14ac:dyDescent="0.25">
      <c r="A29" s="8">
        <v>199482801</v>
      </c>
      <c r="B29">
        <v>285574</v>
      </c>
      <c r="C29">
        <v>1014866879</v>
      </c>
      <c r="D29" t="s">
        <v>107</v>
      </c>
      <c r="E29" t="s">
        <v>39</v>
      </c>
    </row>
    <row r="30" spans="1:5" x14ac:dyDescent="0.25">
      <c r="A30" s="8" t="s">
        <v>18</v>
      </c>
      <c r="B30">
        <v>201221</v>
      </c>
      <c r="C30">
        <v>1014880552</v>
      </c>
      <c r="E30" s="6" t="s">
        <v>43</v>
      </c>
    </row>
    <row r="31" spans="1:5" x14ac:dyDescent="0.25">
      <c r="A31" s="8" t="s">
        <v>19</v>
      </c>
      <c r="B31">
        <v>344915</v>
      </c>
      <c r="C31">
        <v>1014899872</v>
      </c>
      <c r="D31" t="s">
        <v>101</v>
      </c>
      <c r="E31" t="s">
        <v>44</v>
      </c>
    </row>
    <row r="32" spans="1:5" x14ac:dyDescent="0.25">
      <c r="A32" s="8">
        <v>890701</v>
      </c>
      <c r="B32">
        <v>303786</v>
      </c>
      <c r="C32">
        <v>1014999432</v>
      </c>
      <c r="D32" t="s">
        <v>102</v>
      </c>
      <c r="E32" t="s">
        <v>45</v>
      </c>
    </row>
    <row r="33" spans="1:5" x14ac:dyDescent="0.25">
      <c r="A33" s="8">
        <v>1017</v>
      </c>
      <c r="B33">
        <v>455704</v>
      </c>
      <c r="C33">
        <v>1015392369</v>
      </c>
      <c r="D33" t="s">
        <v>103</v>
      </c>
      <c r="E33" t="s">
        <v>38</v>
      </c>
    </row>
    <row r="34" spans="1:5" x14ac:dyDescent="0.25">
      <c r="A34" s="8">
        <v>200436442</v>
      </c>
      <c r="B34">
        <v>390200</v>
      </c>
      <c r="C34">
        <v>1015473599</v>
      </c>
      <c r="D34" t="s">
        <v>104</v>
      </c>
      <c r="E34" t="s">
        <v>37</v>
      </c>
    </row>
    <row r="35" spans="1:5" x14ac:dyDescent="0.25">
      <c r="A35" s="8" t="s">
        <v>20</v>
      </c>
      <c r="B35">
        <v>347200</v>
      </c>
      <c r="C35">
        <v>1016020580</v>
      </c>
      <c r="D35" t="s">
        <v>105</v>
      </c>
      <c r="E35" t="s">
        <v>52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Gomez Argaez</dc:creator>
  <cp:lastModifiedBy>Daniela Gomez Argaez</cp:lastModifiedBy>
  <dcterms:created xsi:type="dcterms:W3CDTF">2021-01-29T21:44:08Z</dcterms:created>
  <dcterms:modified xsi:type="dcterms:W3CDTF">2021-03-30T15:06:28Z</dcterms:modified>
</cp:coreProperties>
</file>